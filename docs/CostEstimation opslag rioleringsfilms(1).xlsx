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https://irvnnijmegen-my.sharepoint.com/personal/m_dessing_nijmegen_nl/Documents/Advies/Rioolfilmpjes/"/>
    </mc:Choice>
  </mc:AlternateContent>
  <xr:revisionPtr revIDLastSave="42" documentId="8_{395919FE-EEB1-4155-8D56-0932AB8321C6}" xr6:coauthVersionLast="47" xr6:coauthVersionMax="47" xr10:uidLastSave="{81A9C73A-0946-F147-B3B9-EE88392D8898}"/>
  <bookViews>
    <workbookView xWindow="51200" yWindow="500" windowWidth="51200" windowHeight="28300" xr2:uid="{AD532AEA-169F-1C45-974C-331C1FF96FCB}"/>
  </bookViews>
  <sheets>
    <sheet name="Kosten schatt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1" l="1"/>
  <c r="G41" i="1"/>
  <c r="G42" i="1"/>
  <c r="G43" i="1"/>
  <c r="G44" i="1"/>
  <c r="G45" i="1"/>
  <c r="G46" i="1"/>
  <c r="G47" i="1"/>
  <c r="G48" i="1"/>
  <c r="G49" i="1"/>
  <c r="G50" i="1"/>
  <c r="G51" i="1"/>
  <c r="G52" i="1"/>
  <c r="G53" i="1"/>
  <c r="G40" i="1"/>
  <c r="G39" i="1"/>
  <c r="F37" i="1"/>
  <c r="E37" i="1"/>
  <c r="F36" i="1"/>
  <c r="E36" i="1"/>
  <c r="H40" i="1"/>
  <c r="H41" i="1"/>
  <c r="H42" i="1"/>
  <c r="H43" i="1"/>
  <c r="H44" i="1"/>
  <c r="H45" i="1"/>
  <c r="H46" i="1"/>
  <c r="H47" i="1"/>
  <c r="H48" i="1"/>
  <c r="H49" i="1"/>
  <c r="H50" i="1"/>
  <c r="H51" i="1"/>
  <c r="H52" i="1"/>
  <c r="H53" i="1"/>
  <c r="H39" i="1"/>
  <c r="D16" i="1"/>
  <c r="D15" i="1"/>
  <c r="C16" i="1"/>
  <c r="C15" i="1"/>
  <c r="B16" i="1"/>
  <c r="B15" i="1"/>
  <c r="E15" i="1" l="1"/>
  <c r="E39" i="1" s="1"/>
  <c r="E53" i="1" s="1"/>
  <c r="E16" i="1"/>
  <c r="E52" i="1" l="1"/>
  <c r="E42" i="1"/>
  <c r="E51" i="1"/>
  <c r="E41" i="1"/>
  <c r="E46" i="1"/>
  <c r="E40" i="1"/>
  <c r="E50" i="1"/>
  <c r="E44" i="1"/>
  <c r="E49" i="1"/>
  <c r="E48" i="1"/>
  <c r="E47" i="1"/>
  <c r="E43" i="1"/>
  <c r="E45" i="1"/>
  <c r="F48" i="1"/>
  <c r="F46" i="1"/>
  <c r="F47" i="1"/>
  <c r="F49" i="1"/>
  <c r="F45" i="1"/>
  <c r="F51" i="1"/>
  <c r="F41" i="1"/>
  <c r="F53" i="1"/>
  <c r="F40" i="1"/>
  <c r="F50" i="1"/>
  <c r="F52" i="1"/>
  <c r="F42" i="1"/>
  <c r="F43" i="1"/>
  <c r="F44" i="1"/>
</calcChain>
</file>

<file path=xl/sharedStrings.xml><?xml version="1.0" encoding="utf-8"?>
<sst xmlns="http://schemas.openxmlformats.org/spreadsheetml/2006/main" count="30" uniqueCount="29">
  <si>
    <t>Input gegegevens</t>
  </si>
  <si>
    <t>totale opslag in TB</t>
  </si>
  <si>
    <t>Uitgaand internet verkeer TB/maand</t>
  </si>
  <si>
    <t>Nieuwe data per jaar TB</t>
  </si>
  <si>
    <t>Oplossingen</t>
  </si>
  <si>
    <t>Kosten/jaar</t>
  </si>
  <si>
    <t>kosten backup / jaar</t>
  </si>
  <si>
    <t>Internet verkeer / jaar</t>
  </si>
  <si>
    <t>Totaal/jaar</t>
  </si>
  <si>
    <t>Optie 3 - S3</t>
  </si>
  <si>
    <t>S3 Standard</t>
  </si>
  <si>
    <t>Kosten</t>
  </si>
  <si>
    <t>Data uit regio per GB</t>
  </si>
  <si>
    <t>S3 instant archive per GB / maand</t>
  </si>
  <si>
    <t>S3 Standard per GB / maand</t>
  </si>
  <si>
    <t>S3 Deep archive per GB / maand</t>
  </si>
  <si>
    <t>Extrapolatie</t>
  </si>
  <si>
    <t>Toename kosten per jaar - Opslag</t>
  </si>
  <si>
    <t>Toename kosten per jaar - Backup</t>
  </si>
  <si>
    <t>Kosten prognose per jaar</t>
  </si>
  <si>
    <t>S3 Inteligent - best case</t>
  </si>
  <si>
    <t>Totaal data TB</t>
  </si>
  <si>
    <t>Caveats ⚠️</t>
  </si>
  <si>
    <t>Bij S3 Inteligent  gaat het om een best case, de werkelijkheid zal hierbij in de buurt liggen maar beginnen met S3 standaard voor in ieder geval 3 maanden</t>
  </si>
  <si>
    <t>Exit kosten</t>
  </si>
  <si>
    <t>* Exit kosten worden gemaakt als we alle data willen downloaden uit AWS</t>
  </si>
  <si>
    <t>Exit kosten*</t>
  </si>
  <si>
    <t>** Best case is dat alles in de goedkoopste laag staat na 90 dagen, behalve de items die op worden gevraagd die zullen 90 dagen in de standaard laag staan. Dit is enkel de goedkoopste laag.</t>
  </si>
  <si>
    <t>S3 Intelligent Tiering - Best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</si>
</sst>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8" formatCode="_([$€-2]\ * #,##0.00_);_([$€-2]\ * \(#,##0.00\);_([$€-2]\ * &quot;-&quot;??_);_(@_)"/>
  </numFmts>
  <fonts count="7" x14ac:knownFonts="1">
    <font>
      <sz val="12"/>
      <color theme="1"/>
      <name val="Calibri"/>
      <family val="2"/>
      <scheme val="minor"/>
    </font>
    <font>
      <b/>
      <sz val="12"/>
      <color theme="1"/>
      <name val="Calibri"/>
      <family val="2"/>
      <scheme val="minor"/>
    </font>
    <font>
      <sz val="12"/>
      <color rgb="FF3F3F76"/>
      <name val="Calibri"/>
      <family val="2"/>
      <scheme val="minor"/>
    </font>
    <font>
      <sz val="8"/>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FFCC99"/>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2" borderId="1" applyNumberFormat="0" applyAlignment="0" applyProtection="0"/>
  </cellStyleXfs>
  <cellXfs count="20">
    <xf numFmtId="0" fontId="0" fillId="0" borderId="0" xfId="0"/>
    <xf numFmtId="0" fontId="1" fillId="0" borderId="0" xfId="0" applyFont="1"/>
    <xf numFmtId="164" fontId="0" fillId="0" borderId="0" xfId="0" applyNumberFormat="1"/>
    <xf numFmtId="164" fontId="0" fillId="0" borderId="0" xfId="0" applyNumberFormat="1" applyAlignment="1">
      <alignment horizontal="center"/>
    </xf>
    <xf numFmtId="0" fontId="2" fillId="2" borderId="1" xfId="1"/>
    <xf numFmtId="0" fontId="4" fillId="0" borderId="0" xfId="0" applyFont="1"/>
    <xf numFmtId="0" fontId="5" fillId="0" borderId="0" xfId="0" applyFont="1"/>
    <xf numFmtId="0" fontId="6" fillId="0" borderId="0" xfId="0" applyFont="1"/>
    <xf numFmtId="0" fontId="0" fillId="0" borderId="0" xfId="0" applyAlignment="1">
      <alignment wrapText="1"/>
    </xf>
    <xf numFmtId="0" fontId="1" fillId="0" borderId="2" xfId="0" applyFont="1" applyBorder="1"/>
    <xf numFmtId="164" fontId="0" fillId="0" borderId="3" xfId="0" applyNumberFormat="1" applyBorder="1"/>
    <xf numFmtId="0" fontId="0" fillId="0" borderId="4" xfId="0" applyBorder="1"/>
    <xf numFmtId="0" fontId="0" fillId="0" borderId="5" xfId="0"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0" fontId="0" fillId="0" borderId="8" xfId="0" applyBorder="1"/>
    <xf numFmtId="0" fontId="1" fillId="0" borderId="8" xfId="0" applyFont="1" applyBorder="1"/>
    <xf numFmtId="168" fontId="0" fillId="0" borderId="0" xfId="0" applyNumberForma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4F3C-0D11-1A4D-BB72-D28D9BC60579}">
  <dimension ref="A1:H56"/>
  <sheetViews>
    <sheetView tabSelected="1" zoomScale="120" zoomScaleNormal="120" workbookViewId="0">
      <pane xSplit="2" ySplit="6" topLeftCell="C12" activePane="bottomRight" state="frozen"/>
      <selection pane="topRight" activeCell="B1" sqref="B1"/>
      <selection pane="bottomLeft" activeCell="A7" sqref="A7"/>
      <selection pane="bottomRight" activeCell="C39" sqref="C39"/>
    </sheetView>
  </sheetViews>
  <sheetFormatPr baseColWidth="10" defaultColWidth="10.6640625" defaultRowHeight="16" x14ac:dyDescent="0.2"/>
  <cols>
    <col min="1" max="1" width="37.5" customWidth="1"/>
    <col min="2" max="2" width="18" customWidth="1"/>
    <col min="3" max="3" width="21.5" customWidth="1"/>
    <col min="4" max="4" width="21.83203125" customWidth="1"/>
    <col min="5" max="5" width="13.83203125" customWidth="1"/>
    <col min="6" max="6" width="21.5" customWidth="1"/>
    <col min="7" max="7" width="13.33203125" customWidth="1"/>
    <col min="8" max="8" width="27.6640625" bestFit="1" customWidth="1"/>
  </cols>
  <sheetData>
    <row r="1" spans="1:8" ht="26" x14ac:dyDescent="0.3">
      <c r="A1" s="6" t="s">
        <v>0</v>
      </c>
    </row>
    <row r="2" spans="1:8" x14ac:dyDescent="0.2">
      <c r="A2" t="s">
        <v>1</v>
      </c>
      <c r="B2" s="4">
        <v>13</v>
      </c>
    </row>
    <row r="3" spans="1:8" x14ac:dyDescent="0.2">
      <c r="A3" t="s">
        <v>2</v>
      </c>
      <c r="B3" s="4">
        <v>0.3</v>
      </c>
    </row>
    <row r="4" spans="1:8" x14ac:dyDescent="0.2">
      <c r="A4" t="s">
        <v>3</v>
      </c>
      <c r="B4" s="4">
        <v>0.7</v>
      </c>
    </row>
    <row r="6" spans="1:8" ht="29" x14ac:dyDescent="0.35">
      <c r="A6" s="7" t="s">
        <v>4</v>
      </c>
      <c r="B6" s="1" t="s">
        <v>5</v>
      </c>
      <c r="C6" s="1" t="s">
        <v>6</v>
      </c>
      <c r="D6" s="1" t="s">
        <v>7</v>
      </c>
      <c r="E6" s="1" t="s">
        <v>8</v>
      </c>
      <c r="F6" s="1"/>
      <c r="G6" s="1" t="s">
        <v>26</v>
      </c>
      <c r="H6" s="1"/>
    </row>
    <row r="7" spans="1:8" x14ac:dyDescent="0.2">
      <c r="A7" s="1"/>
      <c r="B7" s="1"/>
      <c r="C7" s="1"/>
      <c r="D7" s="1"/>
      <c r="E7" s="1"/>
      <c r="F7" s="1"/>
      <c r="G7" s="1"/>
      <c r="H7" s="1"/>
    </row>
    <row r="8" spans="1:8" x14ac:dyDescent="0.2">
      <c r="B8" s="2"/>
      <c r="C8" s="3"/>
      <c r="D8" s="2"/>
      <c r="E8" s="2"/>
      <c r="F8" s="2"/>
    </row>
    <row r="9" spans="1:8" x14ac:dyDescent="0.2">
      <c r="B9" s="2"/>
      <c r="C9" s="3"/>
      <c r="D9" s="2"/>
      <c r="E9" s="2"/>
      <c r="F9" s="2"/>
    </row>
    <row r="10" spans="1:8" x14ac:dyDescent="0.2">
      <c r="A10" s="1"/>
      <c r="B10" s="2"/>
      <c r="C10" s="2"/>
      <c r="D10" s="2"/>
      <c r="E10" s="2"/>
      <c r="F10" s="2"/>
    </row>
    <row r="11" spans="1:8" x14ac:dyDescent="0.2">
      <c r="B11" s="2"/>
      <c r="C11" s="3"/>
      <c r="D11" s="3"/>
      <c r="E11" s="2"/>
      <c r="F11" s="2"/>
      <c r="G11" s="2"/>
    </row>
    <row r="12" spans="1:8" x14ac:dyDescent="0.2">
      <c r="B12" s="2"/>
      <c r="C12" s="3"/>
      <c r="D12" s="3"/>
      <c r="E12" s="2"/>
      <c r="F12" s="2"/>
      <c r="G12" s="2"/>
    </row>
    <row r="13" spans="1:8" ht="17" thickBot="1" x14ac:dyDescent="0.25">
      <c r="B13" s="2"/>
      <c r="C13" s="2"/>
      <c r="D13" s="2"/>
      <c r="E13" s="2"/>
      <c r="H13" s="2"/>
    </row>
    <row r="14" spans="1:8" x14ac:dyDescent="0.2">
      <c r="A14" s="9" t="s">
        <v>9</v>
      </c>
      <c r="B14" s="10"/>
      <c r="C14" s="10"/>
      <c r="D14" s="10"/>
      <c r="E14" s="14"/>
      <c r="H14" s="2"/>
    </row>
    <row r="15" spans="1:8" x14ac:dyDescent="0.2">
      <c r="A15" s="11" t="s">
        <v>10</v>
      </c>
      <c r="B15" s="2">
        <f>B2*1000*B29*12</f>
        <v>3822</v>
      </c>
      <c r="C15" s="2">
        <f>B2*1000*B30*12</f>
        <v>280.79999999999995</v>
      </c>
      <c r="D15" s="2">
        <f>B3*1000*B27*12</f>
        <v>72</v>
      </c>
      <c r="E15" s="15">
        <f>SUM(B15:D15)</f>
        <v>4174.8</v>
      </c>
      <c r="H15" s="2"/>
    </row>
    <row r="16" spans="1:8" ht="17" thickBot="1" x14ac:dyDescent="0.25">
      <c r="A16" s="12" t="s">
        <v>28</v>
      </c>
      <c r="B16" s="13">
        <f>B2*1000*B28*12</f>
        <v>780</v>
      </c>
      <c r="C16" s="13">
        <f>B2*1000*B30*12</f>
        <v>280.79999999999995</v>
      </c>
      <c r="D16" s="13">
        <f>B3*1000*B27*12</f>
        <v>72</v>
      </c>
      <c r="E16" s="16">
        <f>SUM(B16:D16)</f>
        <v>1132.8</v>
      </c>
      <c r="H16" s="2"/>
    </row>
    <row r="17" spans="1:5" x14ac:dyDescent="0.2">
      <c r="E17" s="17"/>
    </row>
    <row r="18" spans="1:5" x14ac:dyDescent="0.2">
      <c r="A18" s="1"/>
      <c r="E18" s="17"/>
    </row>
    <row r="19" spans="1:5" x14ac:dyDescent="0.2">
      <c r="E19" s="17"/>
    </row>
    <row r="20" spans="1:5" x14ac:dyDescent="0.2">
      <c r="E20" s="17"/>
    </row>
    <row r="21" spans="1:5" x14ac:dyDescent="0.2">
      <c r="E21" s="17"/>
    </row>
    <row r="22" spans="1:5" x14ac:dyDescent="0.2">
      <c r="E22" s="17"/>
    </row>
    <row r="23" spans="1:5" ht="34" x14ac:dyDescent="0.2">
      <c r="A23" s="8" t="s">
        <v>25</v>
      </c>
      <c r="E23" s="17"/>
    </row>
    <row r="24" spans="1:5" ht="85" x14ac:dyDescent="0.2">
      <c r="A24" s="8" t="s">
        <v>27</v>
      </c>
      <c r="E24" s="17"/>
    </row>
    <row r="25" spans="1:5" x14ac:dyDescent="0.2">
      <c r="E25" s="17"/>
    </row>
    <row r="26" spans="1:5" ht="21" customHeight="1" x14ac:dyDescent="0.3">
      <c r="A26" s="5" t="s">
        <v>11</v>
      </c>
      <c r="E26" s="17"/>
    </row>
    <row r="27" spans="1:5" x14ac:dyDescent="0.2">
      <c r="A27" t="s">
        <v>12</v>
      </c>
      <c r="B27">
        <v>0.02</v>
      </c>
      <c r="E27" s="17"/>
    </row>
    <row r="28" spans="1:5" x14ac:dyDescent="0.2">
      <c r="A28" t="s">
        <v>13</v>
      </c>
      <c r="B28">
        <v>5.0000000000000001E-3</v>
      </c>
      <c r="E28" s="17"/>
    </row>
    <row r="29" spans="1:5" x14ac:dyDescent="0.2">
      <c r="A29" t="s">
        <v>14</v>
      </c>
      <c r="B29">
        <v>2.4500000000000001E-2</v>
      </c>
      <c r="E29" s="17"/>
    </row>
    <row r="30" spans="1:5" x14ac:dyDescent="0.2">
      <c r="A30" t="s">
        <v>15</v>
      </c>
      <c r="B30">
        <v>1.8E-3</v>
      </c>
      <c r="E30" s="17"/>
    </row>
    <row r="31" spans="1:5" x14ac:dyDescent="0.2">
      <c r="E31" s="17"/>
    </row>
    <row r="32" spans="1:5" x14ac:dyDescent="0.2">
      <c r="E32" s="17"/>
    </row>
    <row r="33" spans="1:8" x14ac:dyDescent="0.2">
      <c r="E33" s="17"/>
    </row>
    <row r="34" spans="1:8" x14ac:dyDescent="0.2">
      <c r="E34" s="17"/>
    </row>
    <row r="35" spans="1:8" ht="24" x14ac:dyDescent="0.3">
      <c r="A35" s="5" t="s">
        <v>16</v>
      </c>
      <c r="E35" s="17"/>
    </row>
    <row r="36" spans="1:8" x14ac:dyDescent="0.2">
      <c r="A36" s="1" t="s">
        <v>17</v>
      </c>
      <c r="E36" s="17">
        <f>$B$4*1000*$B$29*12</f>
        <v>205.8</v>
      </c>
      <c r="F36">
        <f>$B$4*1000*$B$28*12</f>
        <v>42</v>
      </c>
    </row>
    <row r="37" spans="1:8" x14ac:dyDescent="0.2">
      <c r="A37" s="1" t="s">
        <v>18</v>
      </c>
      <c r="E37" s="17">
        <f>$B$4*1000*$B$30</f>
        <v>1.26</v>
      </c>
      <c r="F37">
        <f>$B$4*1000*$B$30</f>
        <v>1.26</v>
      </c>
    </row>
    <row r="38" spans="1:8" x14ac:dyDescent="0.2">
      <c r="A38" s="1" t="s">
        <v>19</v>
      </c>
      <c r="B38" s="1"/>
      <c r="C38" s="1"/>
      <c r="D38" s="1"/>
      <c r="E38" s="18" t="s">
        <v>10</v>
      </c>
      <c r="F38" s="1" t="s">
        <v>20</v>
      </c>
      <c r="G38" s="1" t="s">
        <v>24</v>
      </c>
      <c r="H38" s="1" t="s">
        <v>21</v>
      </c>
    </row>
    <row r="39" spans="1:8" x14ac:dyDescent="0.2">
      <c r="A39">
        <v>1</v>
      </c>
      <c r="B39" s="2"/>
      <c r="C39" s="2"/>
      <c r="D39" s="2"/>
      <c r="E39" s="15">
        <f>E15</f>
        <v>4174.8</v>
      </c>
      <c r="F39" s="2">
        <f>E16</f>
        <v>1132.8</v>
      </c>
      <c r="G39" s="19">
        <f>H39*1000*$B$27</f>
        <v>260</v>
      </c>
      <c r="H39">
        <f>$B$2+((A39-1)*$B$4)</f>
        <v>13</v>
      </c>
    </row>
    <row r="40" spans="1:8" x14ac:dyDescent="0.2">
      <c r="A40">
        <v>2</v>
      </c>
      <c r="B40" s="2"/>
      <c r="C40" s="2"/>
      <c r="D40" s="2"/>
      <c r="E40" s="15">
        <f>$E$39+(A40*$E$36)+(A40*$E$37)</f>
        <v>4588.920000000001</v>
      </c>
      <c r="F40" s="2">
        <f t="shared" ref="F40:F53" si="0">$F$39+(A40*$F$36)+(A40*$F$37)</f>
        <v>1219.32</v>
      </c>
      <c r="G40" s="19">
        <f>H40*1000*$B$27</f>
        <v>274</v>
      </c>
      <c r="H40">
        <f t="shared" ref="H40:H53" si="1">$B$2+((A40-1)*$B$4)</f>
        <v>13.7</v>
      </c>
    </row>
    <row r="41" spans="1:8" x14ac:dyDescent="0.2">
      <c r="A41">
        <v>3</v>
      </c>
      <c r="B41" s="2"/>
      <c r="C41" s="2"/>
      <c r="D41" s="2"/>
      <c r="E41" s="15">
        <f t="shared" ref="E41:E53" si="2">$E$39+(A41*$E$36)+(A41*$E$37)</f>
        <v>4795.9800000000005</v>
      </c>
      <c r="F41" s="2">
        <f t="shared" si="0"/>
        <v>1262.58</v>
      </c>
      <c r="G41" s="19">
        <f t="shared" ref="G41:G53" si="3">H41*1000*$B$27</f>
        <v>288</v>
      </c>
      <c r="H41">
        <f t="shared" si="1"/>
        <v>14.4</v>
      </c>
    </row>
    <row r="42" spans="1:8" x14ac:dyDescent="0.2">
      <c r="A42">
        <v>4</v>
      </c>
      <c r="B42" s="2"/>
      <c r="C42" s="2"/>
      <c r="D42" s="2"/>
      <c r="E42" s="15">
        <f t="shared" si="2"/>
        <v>5003.04</v>
      </c>
      <c r="F42" s="2">
        <f t="shared" si="0"/>
        <v>1305.8399999999999</v>
      </c>
      <c r="G42" s="19">
        <f t="shared" si="3"/>
        <v>302</v>
      </c>
      <c r="H42">
        <f t="shared" si="1"/>
        <v>15.1</v>
      </c>
    </row>
    <row r="43" spans="1:8" x14ac:dyDescent="0.2">
      <c r="A43">
        <v>5</v>
      </c>
      <c r="B43" s="2"/>
      <c r="C43" s="2"/>
      <c r="D43" s="2"/>
      <c r="E43" s="15">
        <f t="shared" si="2"/>
        <v>5210.1000000000004</v>
      </c>
      <c r="F43" s="2">
        <f t="shared" si="0"/>
        <v>1349.1</v>
      </c>
      <c r="G43" s="19">
        <f t="shared" si="3"/>
        <v>316</v>
      </c>
      <c r="H43">
        <f t="shared" si="1"/>
        <v>15.8</v>
      </c>
    </row>
    <row r="44" spans="1:8" x14ac:dyDescent="0.2">
      <c r="A44">
        <v>6</v>
      </c>
      <c r="B44" s="2"/>
      <c r="C44" s="2"/>
      <c r="D44" s="2"/>
      <c r="E44" s="15">
        <f t="shared" si="2"/>
        <v>5417.1600000000008</v>
      </c>
      <c r="F44" s="2">
        <f t="shared" si="0"/>
        <v>1392.36</v>
      </c>
      <c r="G44" s="19">
        <f t="shared" si="3"/>
        <v>330</v>
      </c>
      <c r="H44">
        <f t="shared" si="1"/>
        <v>16.5</v>
      </c>
    </row>
    <row r="45" spans="1:8" x14ac:dyDescent="0.2">
      <c r="A45">
        <v>7</v>
      </c>
      <c r="B45" s="2"/>
      <c r="C45" s="2"/>
      <c r="D45" s="2"/>
      <c r="E45" s="15">
        <f t="shared" si="2"/>
        <v>5624.22</v>
      </c>
      <c r="F45" s="2">
        <f t="shared" si="0"/>
        <v>1435.62</v>
      </c>
      <c r="G45" s="19">
        <f t="shared" si="3"/>
        <v>344</v>
      </c>
      <c r="H45">
        <f t="shared" si="1"/>
        <v>17.2</v>
      </c>
    </row>
    <row r="46" spans="1:8" x14ac:dyDescent="0.2">
      <c r="A46">
        <v>8</v>
      </c>
      <c r="B46" s="2"/>
      <c r="C46" s="2"/>
      <c r="D46" s="2"/>
      <c r="E46" s="15">
        <f t="shared" si="2"/>
        <v>5831.2800000000007</v>
      </c>
      <c r="F46" s="2">
        <f t="shared" si="0"/>
        <v>1478.8799999999999</v>
      </c>
      <c r="G46" s="19">
        <f t="shared" si="3"/>
        <v>358</v>
      </c>
      <c r="H46">
        <f t="shared" si="1"/>
        <v>17.899999999999999</v>
      </c>
    </row>
    <row r="47" spans="1:8" x14ac:dyDescent="0.2">
      <c r="A47">
        <v>9</v>
      </c>
      <c r="B47" s="2"/>
      <c r="C47" s="2"/>
      <c r="D47" s="2"/>
      <c r="E47" s="15">
        <f t="shared" si="2"/>
        <v>6038.34</v>
      </c>
      <c r="F47" s="2">
        <f t="shared" si="0"/>
        <v>1522.1399999999999</v>
      </c>
      <c r="G47" s="19">
        <f t="shared" si="3"/>
        <v>372</v>
      </c>
      <c r="H47">
        <f t="shared" si="1"/>
        <v>18.600000000000001</v>
      </c>
    </row>
    <row r="48" spans="1:8" x14ac:dyDescent="0.2">
      <c r="A48">
        <v>10</v>
      </c>
      <c r="B48" s="2"/>
      <c r="C48" s="2"/>
      <c r="D48" s="2"/>
      <c r="E48" s="15">
        <f t="shared" si="2"/>
        <v>6245.4000000000005</v>
      </c>
      <c r="F48" s="2">
        <f t="shared" si="0"/>
        <v>1565.3999999999999</v>
      </c>
      <c r="G48" s="19">
        <f t="shared" si="3"/>
        <v>386</v>
      </c>
      <c r="H48">
        <f t="shared" si="1"/>
        <v>19.3</v>
      </c>
    </row>
    <row r="49" spans="1:8" x14ac:dyDescent="0.2">
      <c r="A49">
        <v>11</v>
      </c>
      <c r="B49" s="2"/>
      <c r="C49" s="2"/>
      <c r="D49" s="2"/>
      <c r="E49" s="15">
        <f t="shared" si="2"/>
        <v>6452.46</v>
      </c>
      <c r="F49" s="2">
        <f t="shared" si="0"/>
        <v>1608.6599999999999</v>
      </c>
      <c r="G49" s="19">
        <f t="shared" si="3"/>
        <v>400</v>
      </c>
      <c r="H49">
        <f t="shared" si="1"/>
        <v>20</v>
      </c>
    </row>
    <row r="50" spans="1:8" x14ac:dyDescent="0.2">
      <c r="A50">
        <v>12</v>
      </c>
      <c r="B50" s="2"/>
      <c r="C50" s="2"/>
      <c r="D50" s="2"/>
      <c r="E50" s="15">
        <f t="shared" si="2"/>
        <v>6659.52</v>
      </c>
      <c r="F50" s="2">
        <f t="shared" si="0"/>
        <v>1651.9199999999998</v>
      </c>
      <c r="G50" s="19">
        <f t="shared" si="3"/>
        <v>414</v>
      </c>
      <c r="H50">
        <f t="shared" si="1"/>
        <v>20.7</v>
      </c>
    </row>
    <row r="51" spans="1:8" x14ac:dyDescent="0.2">
      <c r="A51">
        <v>13</v>
      </c>
      <c r="B51" s="2"/>
      <c r="C51" s="2"/>
      <c r="D51" s="2"/>
      <c r="E51" s="15">
        <f t="shared" si="2"/>
        <v>6866.5800000000008</v>
      </c>
      <c r="F51" s="2">
        <f t="shared" si="0"/>
        <v>1695.18</v>
      </c>
      <c r="G51" s="19">
        <f t="shared" si="3"/>
        <v>428</v>
      </c>
      <c r="H51">
        <f t="shared" si="1"/>
        <v>21.4</v>
      </c>
    </row>
    <row r="52" spans="1:8" x14ac:dyDescent="0.2">
      <c r="A52">
        <v>14</v>
      </c>
      <c r="B52" s="2"/>
      <c r="C52" s="2"/>
      <c r="D52" s="2"/>
      <c r="E52" s="15">
        <f t="shared" si="2"/>
        <v>7073.64</v>
      </c>
      <c r="F52" s="2">
        <f t="shared" si="0"/>
        <v>1738.44</v>
      </c>
      <c r="G52" s="19">
        <f t="shared" si="3"/>
        <v>442</v>
      </c>
      <c r="H52">
        <f t="shared" si="1"/>
        <v>22.1</v>
      </c>
    </row>
    <row r="53" spans="1:8" ht="17" thickBot="1" x14ac:dyDescent="0.25">
      <c r="A53">
        <v>15</v>
      </c>
      <c r="B53" s="2"/>
      <c r="C53" s="2"/>
      <c r="D53" s="2"/>
      <c r="E53" s="16">
        <f t="shared" si="2"/>
        <v>7280.7</v>
      </c>
      <c r="F53" s="2">
        <f t="shared" si="0"/>
        <v>1781.7</v>
      </c>
      <c r="G53" s="19">
        <f t="shared" si="3"/>
        <v>455.99999999999994</v>
      </c>
      <c r="H53">
        <f t="shared" si="1"/>
        <v>22.799999999999997</v>
      </c>
    </row>
    <row r="55" spans="1:8" ht="29" x14ac:dyDescent="0.35">
      <c r="A55" s="7" t="s">
        <v>22</v>
      </c>
    </row>
    <row r="56" spans="1:8" x14ac:dyDescent="0.2">
      <c r="A56" t="s">
        <v>23</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369355-6b61-49c1-b1d3-5cc2524499bb">
      <Value>1</Value>
      <Value>3</Value>
    </TaxCatchAll>
    <StatusTeamSite xmlns="86369355-6b61-49c1-b1d3-5cc2524499bb">Actueel</StatusTeamSite>
    <ExternIdentificatiekenmerk xmlns="86369355-6b61-49c1-b1d3-5cc2524499bb" xsi:nil="true"/>
    <DocumentSetDescription xmlns="http://schemas.microsoft.com/sharepoint/v3" xsi:nil="true"/>
    <IdentificatiekenmerkTeamsite xmlns="86369355-6b61-49c1-b1d3-5cc2524499bb" xsi:nil="true"/>
    <jc3f68c56f6840beaeb4d148944adba3 xmlns="86369355-6b61-49c1-b1d3-5cc2524499bb">
      <Terms xmlns="http://schemas.microsoft.com/office/infopath/2007/PartnerControls">
        <TermInfo xmlns="http://schemas.microsoft.com/office/infopath/2007/PartnerControls">
          <TermName xmlns="http://schemas.microsoft.com/office/infopath/2007/PartnerControls">Organisatie en bedrijfsvoering</TermName>
          <TermId xmlns="http://schemas.microsoft.com/office/infopath/2007/PartnerControls">99afc328-7b96-42c3-a2f0-e152ff382d72</TermId>
        </TermInfo>
      </Terms>
    </jc3f68c56f6840beaeb4d148944adba3>
    <BevoegdGezag xmlns="86369355-6b61-49c1-b1d3-5cc2524499bb">Gemeente Nijmegen</BevoegdGezag>
    <lcf76f155ced4ddcb4097134ff3c332f xmlns="31eaae0c-94d5-4a03-83c8-5af05e676209">
      <Terms xmlns="http://schemas.microsoft.com/office/infopath/2007/PartnerControls"/>
    </lcf76f155ced4ddcb4097134ff3c332f>
    <Aggregatieniveau xmlns="86369355-6b61-49c1-b1d3-5cc2524499bb">Dossier</Aggregatieniveau>
    <Verantwoordelijke xmlns="86369355-6b61-49c1-b1d3-5cc2524499bb">
      <UserInfo>
        <DisplayName>Constance Boogers</DisplayName>
        <AccountId>16</AccountId>
        <AccountType/>
      </UserInfo>
    </Verantwoordelijke>
    <l7904bdd38c54d03b88fc2860555689c xmlns="86369355-6b61-49c1-b1d3-5cc2524499bb">
      <Terms xmlns="http://schemas.microsoft.com/office/infopath/2007/PartnerControls">
        <TermInfo xmlns="http://schemas.microsoft.com/office/infopath/2007/PartnerControls">
          <TermName xmlns="http://schemas.microsoft.com/office/infopath/2007/PartnerControls">Personeel, Informatie en Facilitair</TermName>
          <TermId xmlns="http://schemas.microsoft.com/office/infopath/2007/PartnerControls">f7bb3fdc-da8f-4a32-a131-2f7327443815</TermId>
        </TermInfo>
      </Terms>
    </l7904bdd38c54d03b88fc2860555689c>
    <_dlc_DocId xmlns="35919ba5-c8f3-49f4-b344-3d325a876bbc">FZZNJYQVR5SQ-616529255-9471</_dlc_DocId>
    <_dlc_DocIdUrl xmlns="35919ba5-c8f3-49f4-b344-3d325a876bbc">
      <Url>https://irvnnijmegen.sharepoint.com/sites/O-OntwikkelingInformatiseringenAutomatiseringI&amp;A/_layouts/15/DocIdRedir.aspx?ID=FZZNJYQVR5SQ-616529255-9471</Url>
      <Description>FZZNJYQVR5SQ-616529255-9471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4D568AB1C3884C8CA2E30855814582" ma:contentTypeVersion="13" ma:contentTypeDescription="Create a new document." ma:contentTypeScope="" ma:versionID="50f9fff391c6fdde68fd10daac5c8358">
  <xsd:schema xmlns:xsd="http://www.w3.org/2001/XMLSchema" xmlns:xs="http://www.w3.org/2001/XMLSchema" xmlns:p="http://schemas.microsoft.com/office/2006/metadata/properties" xmlns:ns1="http://schemas.microsoft.com/sharepoint/v3" xmlns:ns2="35919ba5-c8f3-49f4-b344-3d325a876bbc" xmlns:ns3="86369355-6b61-49c1-b1d3-5cc2524499bb" xmlns:ns4="31eaae0c-94d5-4a03-83c8-5af05e676209" targetNamespace="http://schemas.microsoft.com/office/2006/metadata/properties" ma:root="true" ma:fieldsID="1a5ebaf5eb76e65fda7defea064f73bc" ns1:_="" ns2:_="" ns3:_="" ns4:_="">
    <xsd:import namespace="http://schemas.microsoft.com/sharepoint/v3"/>
    <xsd:import namespace="35919ba5-c8f3-49f4-b344-3d325a876bbc"/>
    <xsd:import namespace="86369355-6b61-49c1-b1d3-5cc2524499bb"/>
    <xsd:import namespace="31eaae0c-94d5-4a03-83c8-5af05e676209"/>
    <xsd:element name="properties">
      <xsd:complexType>
        <xsd:sequence>
          <xsd:element name="documentManagement">
            <xsd:complexType>
              <xsd:all>
                <xsd:element ref="ns2:_dlc_DocId" minOccurs="0"/>
                <xsd:element ref="ns2:_dlc_DocIdUrl" minOccurs="0"/>
                <xsd:element ref="ns2:_dlc_DocIdPersistId" minOccurs="0"/>
                <xsd:element ref="ns1:DocumentSetDescription" minOccurs="0"/>
                <xsd:element ref="ns3:BevoegdGezag" minOccurs="0"/>
                <xsd:element ref="ns3:StatusTeamSite" minOccurs="0"/>
                <xsd:element ref="ns3:l7904bdd38c54d03b88fc2860555689c" minOccurs="0"/>
                <xsd:element ref="ns3:TaxCatchAll" minOccurs="0"/>
                <xsd:element ref="ns3:TaxCatchAllLabel" minOccurs="0"/>
                <xsd:element ref="ns3:Aggregatieniveau" minOccurs="0"/>
                <xsd:element ref="ns3:Verantwoordelijke" minOccurs="0"/>
                <xsd:element ref="ns3:jc3f68c56f6840beaeb4d148944adba3" minOccurs="0"/>
                <xsd:element ref="ns3:IdentificatiekenmerkTeamsite" minOccurs="0"/>
                <xsd:element ref="ns3:ExternIdentificatiekenmerk" minOccurs="0"/>
                <xsd:element ref="ns4:MediaServiceMetadata" minOccurs="0"/>
                <xsd:element ref="ns4:MediaServiceFastMetadata" minOccurs="0"/>
                <xsd:element ref="ns4:MediaServiceSearchProperties" minOccurs="0"/>
                <xsd:element ref="ns4:MediaServiceObjectDetectorVersions" minOccurs="0"/>
                <xsd:element ref="ns4:lcf76f155ced4ddcb4097134ff3c332f" minOccurs="0"/>
                <xsd:element ref="ns4:MediaServiceDateTaken" minOccurs="0"/>
                <xsd:element ref="ns4:MediaServiceOCR"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1"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919ba5-c8f3-49f4-b344-3d325a876bb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6369355-6b61-49c1-b1d3-5cc2524499bb" elementFormDefault="qualified">
    <xsd:import namespace="http://schemas.microsoft.com/office/2006/documentManagement/types"/>
    <xsd:import namespace="http://schemas.microsoft.com/office/infopath/2007/PartnerControls"/>
    <xsd:element name="BevoegdGezag" ma:index="12" nillable="true" ma:displayName="BevoegdGezag" ma:default="Gemeente Nijmegen" ma:internalName="BevoegdGezag">
      <xsd:simpleType>
        <xsd:restriction base="dms:Text">
          <xsd:maxLength value="255"/>
        </xsd:restriction>
      </xsd:simpleType>
    </xsd:element>
    <xsd:element name="StatusTeamSite" ma:index="13" nillable="true" ma:displayName="StatusTeamSite" ma:default="Actueel" ma:format="Dropdown" ma:internalName="StatusTeamSite">
      <xsd:simpleType>
        <xsd:restriction base="dms:Choice">
          <xsd:enumeration value="Actueel"/>
          <xsd:enumeration value="Gesloten"/>
        </xsd:restriction>
      </xsd:simpleType>
    </xsd:element>
    <xsd:element name="l7904bdd38c54d03b88fc2860555689c" ma:index="14" nillable="true" ma:taxonomy="true" ma:internalName="l7904bdd38c54d03b88fc2860555689c" ma:taxonomyFieldName="Afdeling" ma:displayName="Afdeling" ma:default="" ma:fieldId="{57904bdd-38c5-4d03-b88f-c2860555689c}" ma:sspId="a3752615-5dc8-4bab-8419-2963b087e6a5" ma:termSetId="3eb7be35-dc76-44f8-a2a2-1b37b77828b4" ma:anchorId="00000000-0000-0000-0000-000000000000" ma:open="false" ma:isKeyword="false">
      <xsd:complexType>
        <xsd:sequence>
          <xsd:element ref="pc:Terms" minOccurs="0" maxOccurs="1"/>
        </xsd:sequence>
      </xsd:complexType>
    </xsd:element>
    <xsd:element name="TaxCatchAll" ma:index="15" nillable="true" ma:displayName="Taxonomy Catch All Column" ma:hidden="true" ma:list="{555889ea-c42e-483b-9e77-bb9268a4b4f6}" ma:internalName="TaxCatchAll" ma:showField="CatchAllData" ma:web="35919ba5-c8f3-49f4-b344-3d325a876bbc">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555889ea-c42e-483b-9e77-bb9268a4b4f6}" ma:internalName="TaxCatchAllLabel" ma:readOnly="true" ma:showField="CatchAllDataLabel" ma:web="35919ba5-c8f3-49f4-b344-3d325a876bbc">
      <xsd:complexType>
        <xsd:complexContent>
          <xsd:extension base="dms:MultiChoiceLookup">
            <xsd:sequence>
              <xsd:element name="Value" type="dms:Lookup" maxOccurs="unbounded" minOccurs="0" nillable="true"/>
            </xsd:sequence>
          </xsd:extension>
        </xsd:complexContent>
      </xsd:complexType>
    </xsd:element>
    <xsd:element name="Aggregatieniveau" ma:index="18" nillable="true" ma:displayName="Aggregatieniveau" ma:default="Dossier" ma:internalName="Aggregatieniveau">
      <xsd:simpleType>
        <xsd:restriction base="dms:Text">
          <xsd:maxLength value="255"/>
        </xsd:restriction>
      </xsd:simpleType>
    </xsd:element>
    <xsd:element name="Verantwoordelijke" ma:index="19" nillable="true" ma:displayName="Verantwoordelijke" ma:list="UserInfo" ma:SharePointGroup="0" ma:internalName="Verantwoordelijk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jc3f68c56f6840beaeb4d148944adba3" ma:index="20" nillable="true" ma:taxonomy="true" ma:internalName="jc3f68c56f6840beaeb4d148944adba3" ma:taxonomyFieldName="Thema" ma:displayName="Thema" ma:default="" ma:fieldId="{3c3f68c5-6f68-40be-aeb4-d148944adba3}" ma:sspId="a3752615-5dc8-4bab-8419-2963b087e6a5" ma:termSetId="2af2695f-4462-4735-8803-6ae650e5f664" ma:anchorId="00000000-0000-0000-0000-000000000000" ma:open="false" ma:isKeyword="false">
      <xsd:complexType>
        <xsd:sequence>
          <xsd:element ref="pc:Terms" minOccurs="0" maxOccurs="1"/>
        </xsd:sequence>
      </xsd:complexType>
    </xsd:element>
    <xsd:element name="IdentificatiekenmerkTeamsite" ma:index="22" nillable="true" ma:displayName="IdentificatiekenmerkTeamsite" ma:internalName="IdentificatiekenmerkTeamsite">
      <xsd:simpleType>
        <xsd:restriction base="dms:Text">
          <xsd:maxLength value="255"/>
        </xsd:restriction>
      </xsd:simpleType>
    </xsd:element>
    <xsd:element name="ExternIdentificatiekenmerk" ma:index="23" nillable="true" ma:displayName="ExternIdentificatiekenmerk" ma:internalName="ExternIdentificatiekenmerk">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eaae0c-94d5-4a03-83c8-5af05e676209"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752615-5dc8-4bab-8419-2963b087e6a5"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dexed="true" ma:internalName="MediaServiceDateTaken"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0B3842-604B-44A2-B4B0-00971F44CC1A}">
  <ds:schemaRefs>
    <ds:schemaRef ds:uri="http://schemas.microsoft.com/sharepoint/events"/>
  </ds:schemaRefs>
</ds:datastoreItem>
</file>

<file path=customXml/itemProps2.xml><?xml version="1.0" encoding="utf-8"?>
<ds:datastoreItem xmlns:ds="http://schemas.openxmlformats.org/officeDocument/2006/customXml" ds:itemID="{E7E40A01-1F9C-4DFE-8202-7B755B3EFB1A}">
  <ds:schemaRefs>
    <ds:schemaRef ds:uri="http://schemas.microsoft.com/sharepoint/v3/contenttype/forms"/>
  </ds:schemaRefs>
</ds:datastoreItem>
</file>

<file path=customXml/itemProps3.xml><?xml version="1.0" encoding="utf-8"?>
<ds:datastoreItem xmlns:ds="http://schemas.openxmlformats.org/officeDocument/2006/customXml" ds:itemID="{791BBE7E-9244-4CA8-84CE-C502AC28A684}">
  <ds:schemaRefs>
    <ds:schemaRef ds:uri="http://schemas.microsoft.com/office/2006/documentManagement/types"/>
    <ds:schemaRef ds:uri="http://purl.org/dc/terms/"/>
    <ds:schemaRef ds:uri="http://purl.org/dc/elements/1.1/"/>
    <ds:schemaRef ds:uri="http://schemas.microsoft.com/office/infopath/2007/PartnerControls"/>
    <ds:schemaRef ds:uri="http://schemas.microsoft.com/sharepoint/v3"/>
    <ds:schemaRef ds:uri="http://schemas.microsoft.com/office/2006/metadata/properties"/>
    <ds:schemaRef ds:uri="http://schemas.openxmlformats.org/package/2006/metadata/core-properties"/>
    <ds:schemaRef ds:uri="31eaae0c-94d5-4a03-83c8-5af05e676209"/>
    <ds:schemaRef ds:uri="86369355-6b61-49c1-b1d3-5cc2524499bb"/>
    <ds:schemaRef ds:uri="35919ba5-c8f3-49f4-b344-3d325a876bbc"/>
    <ds:schemaRef ds:uri="http://www.w3.org/XML/1998/namespace"/>
    <ds:schemaRef ds:uri="http://purl.org/dc/dcmitype/"/>
  </ds:schemaRefs>
</ds:datastoreItem>
</file>

<file path=customXml/itemProps4.xml><?xml version="1.0" encoding="utf-8"?>
<ds:datastoreItem xmlns:ds="http://schemas.openxmlformats.org/officeDocument/2006/customXml" ds:itemID="{F853365B-A304-40D1-8220-993249B863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5919ba5-c8f3-49f4-b344-3d325a876bbc"/>
    <ds:schemaRef ds:uri="86369355-6b61-49c1-b1d3-5cc2524499bb"/>
    <ds:schemaRef ds:uri="31eaae0c-94d5-4a03-83c8-5af05e6762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Kosten schatting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Marnix Dessing</cp:lastModifiedBy>
  <cp:revision/>
  <dcterms:created xsi:type="dcterms:W3CDTF">2022-12-07T12:38:14Z</dcterms:created>
  <dcterms:modified xsi:type="dcterms:W3CDTF">2025-05-30T10:10:21Z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0x0101004F4D568AB1C3884C8CA2E30855814582</vt:lpwstr>
  </property>
  <property fmtid="{D5CDD505-2E9C-101B-9397-08002B2CF9AE}" pid="3" name="Afdeling">
    <vt:lpwstr>3</vt:lpwstr>
  </property>
  <property fmtid="{D5CDD505-2E9C-101B-9397-08002B2CF9AE}" pid="4" name="Thema">
    <vt:lpwstr>1</vt:lpwstr>
  </property>
  <property fmtid="{D5CDD505-2E9C-101B-9397-08002B2CF9AE}" pid="5" name="_dlc_DocIdItemGuid">
    <vt:lpwstr>1e68f1d9-4e39-42fe-b6cc-a5074b462fb5</vt:lpwstr>
  </property>
  <property fmtid="{D5CDD505-2E9C-101B-9397-08002B2CF9AE}" pid="6" name="MediaServiceImageTags">
    <vt:lpwstr/>
  </property>
  <property fmtid="{D5CDD505-2E9C-101B-9397-08002B2CF9AE}" pid="7" name="n44ced7fe27645ccaf20ac6542df7133">
    <vt:lpwstr/>
  </property>
  <property fmtid="{D5CDD505-2E9C-101B-9397-08002B2CF9AE}" pid="8" name="Organisatieeenheid">
    <vt:lpwstr/>
  </property>
</Properties>
</file>